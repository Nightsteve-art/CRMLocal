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Основной сегмент" sheetId="1" r:id="rId1"/>
    <sheet name="Метизы" sheetId="2" r:id="rId2"/>
  </sheets>
  <calcPr calcId="152511"/>
</workbook>
</file>

<file path=xl/calcChain.xml><?xml version="1.0" encoding="utf-8"?>
<calcChain xmlns="http://schemas.openxmlformats.org/spreadsheetml/2006/main">
  <c r="J18" i="2" l="1"/>
  <c r="J12" i="2"/>
  <c r="J3" i="2"/>
  <c r="D6" i="2"/>
  <c r="D4" i="2"/>
  <c r="D5" i="2" s="1"/>
  <c r="C3" i="1" l="1"/>
  <c r="D9" i="2" l="1"/>
  <c r="J29" i="2" l="1"/>
  <c r="J28" i="2"/>
  <c r="J10" i="2"/>
  <c r="J26" i="2"/>
  <c r="J27" i="2"/>
  <c r="J5" i="2"/>
  <c r="D40" i="2"/>
  <c r="J14" i="2" s="1"/>
  <c r="D43" i="2"/>
  <c r="D42" i="2"/>
  <c r="D41" i="2"/>
  <c r="J20" i="2" s="1"/>
  <c r="D25" i="2" l="1"/>
  <c r="J7" i="2" s="1"/>
  <c r="D20" i="2"/>
  <c r="J9" i="2" s="1"/>
  <c r="D16" i="2"/>
  <c r="J6" i="2" s="1"/>
  <c r="D12" i="2"/>
  <c r="J4" i="2"/>
  <c r="D7" i="2"/>
  <c r="D8" i="2" l="1"/>
  <c r="J2" i="2"/>
  <c r="D15" i="2"/>
  <c r="J8" i="2"/>
  <c r="D13" i="2"/>
  <c r="D14" i="2"/>
  <c r="D37" i="2" l="1"/>
  <c r="D26" i="2"/>
  <c r="D28" i="2" s="1"/>
  <c r="D22" i="2"/>
  <c r="D19" i="2"/>
  <c r="D18" i="2"/>
  <c r="D11" i="2"/>
  <c r="J16" i="2" s="1"/>
  <c r="J17" i="2"/>
  <c r="J19" i="2" l="1"/>
  <c r="D23" i="2"/>
  <c r="D24" i="2"/>
  <c r="J15" i="2" s="1"/>
  <c r="D10" i="2"/>
  <c r="J11" i="2" s="1"/>
  <c r="D17" i="2"/>
  <c r="D27" i="2"/>
  <c r="J13" i="2" l="1"/>
  <c r="C21" i="1"/>
</calcChain>
</file>

<file path=xl/sharedStrings.xml><?xml version="1.0" encoding="utf-8"?>
<sst xmlns="http://schemas.openxmlformats.org/spreadsheetml/2006/main" count="178" uniqueCount="129">
  <si>
    <t>Кол-во</t>
  </si>
  <si>
    <t>№</t>
  </si>
  <si>
    <t xml:space="preserve">Наименование </t>
  </si>
  <si>
    <t>№ Палета</t>
  </si>
  <si>
    <t xml:space="preserve">комментарий </t>
  </si>
  <si>
    <t>Секции борта хоккейного:</t>
  </si>
  <si>
    <t>2 шт.</t>
  </si>
  <si>
    <t>Доп. Оборудование</t>
  </si>
  <si>
    <t>Секции прямые 2,0 м</t>
  </si>
  <si>
    <t>Секции калиток 2,0 м</t>
  </si>
  <si>
    <t>Наименование тип/размер</t>
  </si>
  <si>
    <t>DIN 9021 Шайба М16</t>
  </si>
  <si>
    <t>DIN 934 Гайка М10</t>
  </si>
  <si>
    <t>DIN 125 Шайба М10</t>
  </si>
  <si>
    <t>DIN 127 Гровер М10</t>
  </si>
  <si>
    <t>DIN 933 Болт М10х50</t>
  </si>
  <si>
    <t>Подвес сети</t>
  </si>
  <si>
    <t>Стойки</t>
  </si>
  <si>
    <t>Остекление</t>
  </si>
  <si>
    <t>Боксы</t>
  </si>
  <si>
    <t>компл.</t>
  </si>
  <si>
    <t>150 м</t>
  </si>
  <si>
    <t>10 шт.</t>
  </si>
  <si>
    <t>800 шт.</t>
  </si>
  <si>
    <t>Стяжка 8х150 мм</t>
  </si>
  <si>
    <t>DIN 934 Гайка М16</t>
  </si>
  <si>
    <t>Талрепы воротные</t>
  </si>
  <si>
    <t>Шпилька М16х2000</t>
  </si>
  <si>
    <t>Соединение секций боксов</t>
  </si>
  <si>
    <t>DIN 7504 тип P 4,8х19</t>
  </si>
  <si>
    <t>Соединение сетки со стойкой</t>
  </si>
  <si>
    <t>DIN 912 М10х80</t>
  </si>
  <si>
    <t>Соединение подиумов</t>
  </si>
  <si>
    <t>Талреп М8</t>
  </si>
  <si>
    <t>Трос 3 мм</t>
  </si>
  <si>
    <t>Фиксатор троса 3 мм</t>
  </si>
  <si>
    <t>50 шт.</t>
  </si>
  <si>
    <t>Веревка белая 3 мм</t>
  </si>
  <si>
    <t>100 м</t>
  </si>
  <si>
    <t>Замки ТВ</t>
  </si>
  <si>
    <t>Колесные блоки ТВ</t>
  </si>
  <si>
    <t>Боковина 0,8</t>
  </si>
  <si>
    <t>DIN 933 Болт М10х130</t>
  </si>
  <si>
    <t>DIN 933 Болт М10х110</t>
  </si>
  <si>
    <t>по 200 мм</t>
  </si>
  <si>
    <t>DIN 933 M10х130</t>
  </si>
  <si>
    <t>Секции прямые 1.5 м</t>
  </si>
  <si>
    <t>Подвес сети (комплект)</t>
  </si>
  <si>
    <t>Дубай. Аль-Наср</t>
  </si>
  <si>
    <t>Крепление секции к ЗП</t>
  </si>
  <si>
    <t>DIN 6923 Гайка М16</t>
  </si>
  <si>
    <t>DIN 933 Болт M16x70</t>
  </si>
  <si>
    <t>Соединение ЗП между собой</t>
  </si>
  <si>
    <t>Крепление ЗП в бетон</t>
  </si>
  <si>
    <t>Соединение секций</t>
  </si>
  <si>
    <t>DIN 933 M10x120</t>
  </si>
  <si>
    <t>Сборка козырька</t>
  </si>
  <si>
    <t>Болт DIN 933 M8x110</t>
  </si>
  <si>
    <t>Шайба DIN 125 M8</t>
  </si>
  <si>
    <t>Гайка самоконтрящаяся DIN 985 M8</t>
  </si>
  <si>
    <t>Защита рекламы</t>
  </si>
  <si>
    <t>Винт потай с внутренним шестигранником DIN 7991 М6х16</t>
  </si>
  <si>
    <t>Задняя стенка</t>
  </si>
  <si>
    <t>DIN 7420 Винт мебельный с плоской головкой и внутренним шестигранником M6x15</t>
  </si>
  <si>
    <t>DIN 933 Болт М10х120</t>
  </si>
  <si>
    <t>DIN 125 Шайба M8</t>
  </si>
  <si>
    <t>Секция прямая 1.0 м</t>
  </si>
  <si>
    <t>Секции радиусные 1,906 м</t>
  </si>
  <si>
    <t>Створка прямая 1,7 м</t>
  </si>
  <si>
    <t>Приворотная радиусная 1.180 м</t>
  </si>
  <si>
    <t>Створка радиусная 1.675 м</t>
  </si>
  <si>
    <t>Приворотная прямая 0,8 м</t>
  </si>
  <si>
    <t>Секция 2,0 м</t>
  </si>
  <si>
    <t>Секция 1.5 м</t>
  </si>
  <si>
    <t>Рама козырька 360х960</t>
  </si>
  <si>
    <t>Рама козырька 360х335</t>
  </si>
  <si>
    <t>Рама козырька 360х835</t>
  </si>
  <si>
    <t>Стойка литая 490-1000-1350</t>
  </si>
  <si>
    <t>Стойка литая 490-1000-2050</t>
  </si>
  <si>
    <t>Стойка сборная 490-2435-2400</t>
  </si>
  <si>
    <t>Стойка сборная 240-2400-2400</t>
  </si>
  <si>
    <t>Стойка сборная 490-1800-1800 пуфик</t>
  </si>
  <si>
    <t>Стойка сборная 490-2050-1800</t>
  </si>
  <si>
    <t>Стойка сборная 325-1800-1800</t>
  </si>
  <si>
    <t>Стойка сборная 490-1450-1350</t>
  </si>
  <si>
    <t>Стойка сборная 220-1450-1350</t>
  </si>
  <si>
    <t>Клипсы 70х450</t>
  </si>
  <si>
    <t>Клипсы 70х350</t>
  </si>
  <si>
    <t xml:space="preserve">Стойка для козырька бокса </t>
  </si>
  <si>
    <t>Стойка бокса 490-1800-1800</t>
  </si>
  <si>
    <t>10х1806х1985</t>
  </si>
  <si>
    <t>10х1806х1110</t>
  </si>
  <si>
    <t>10х1806х1615</t>
  </si>
  <si>
    <t>10х395х1015</t>
  </si>
  <si>
    <t>10х1406х745</t>
  </si>
  <si>
    <t>10х2406х1290</t>
  </si>
  <si>
    <t>10х2406х695</t>
  </si>
  <si>
    <t>10х2406х830</t>
  </si>
  <si>
    <t>10х2406х840</t>
  </si>
  <si>
    <t>10х2406х940</t>
  </si>
  <si>
    <t>10х2406х960</t>
  </si>
  <si>
    <t>10х2406х985</t>
  </si>
  <si>
    <t>10х1806/2406х960</t>
  </si>
  <si>
    <t>10х1800х985</t>
  </si>
  <si>
    <t>10х1800х665</t>
  </si>
  <si>
    <t>10х1800х860</t>
  </si>
  <si>
    <t>10х1800х360</t>
  </si>
  <si>
    <t>Уголок боксов 66х121х1800</t>
  </si>
  <si>
    <t xml:space="preserve"> DIN 741 Фиксатор троса 3 мм</t>
  </si>
  <si>
    <t>Талреп М8 крюк-кольцо</t>
  </si>
  <si>
    <t>Пластина прижимная 155 мм</t>
  </si>
  <si>
    <t>Разделитель ледовой площадки 300 мм</t>
  </si>
  <si>
    <t>МД деталь</t>
  </si>
  <si>
    <t>Сетка без узловая 5х36 м, толщина нити 2,2 мм, ячейка 40 х 40 мм, цвет - черный</t>
  </si>
  <si>
    <t>Нога боксов</t>
  </si>
  <si>
    <t>Крепление ножек боксов</t>
  </si>
  <si>
    <t>Шпилька М12х2000</t>
  </si>
  <si>
    <t>Шайба DIN 9021 М12</t>
  </si>
  <si>
    <t>Гайка DIN 934 М12</t>
  </si>
  <si>
    <t>Запорный порог 2,0 м</t>
  </si>
  <si>
    <t>Запорный порог 1.5 м</t>
  </si>
  <si>
    <t>Запорный порог 1.0 м</t>
  </si>
  <si>
    <t>Запорный порог 0,8 м</t>
  </si>
  <si>
    <t>Запорный порог радиусный 1.942 м</t>
  </si>
  <si>
    <t>Запорный порог радиусный 1.201 м</t>
  </si>
  <si>
    <t>DIN 580 Рым-болт М6</t>
  </si>
  <si>
    <t>DIN 9021 Шайба М12</t>
  </si>
  <si>
    <t>DIN 934 Гайка М12</t>
  </si>
  <si>
    <t>Крепление МД в бетон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</si>
</sst>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0" fillId="5" borderId="23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3" fillId="0" borderId="0" xfId="0" applyFont="1"/>
    <xf numFmtId="0" fontId="0" fillId="0" borderId="9" xfId="0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0" fillId="5" borderId="0" xfId="0" applyFill="1"/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4" borderId="5" xfId="0" applyFill="1" applyBorder="1"/>
    <xf numFmtId="0" fontId="8" fillId="4" borderId="9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 applyAlignment="1">
      <alignment vertical="center"/>
    </xf>
    <xf numFmtId="0" fontId="7" fillId="0" borderId="24" xfId="0" applyFont="1" applyBorder="1"/>
    <xf numFmtId="0" fontId="7" fillId="0" borderId="27" xfId="0" applyFont="1" applyBorder="1" applyAlignment="1">
      <alignment vertical="center"/>
    </xf>
    <xf numFmtId="0" fontId="7" fillId="0" borderId="7" xfId="0" applyFont="1" applyBorder="1"/>
    <xf numFmtId="0" fontId="7" fillId="0" borderId="32" xfId="0" applyFont="1" applyBorder="1" applyAlignment="1">
      <alignment vertical="center"/>
    </xf>
    <xf numFmtId="0" fontId="7" fillId="0" borderId="4" xfId="0" applyFont="1" applyBorder="1"/>
    <xf numFmtId="0" fontId="0" fillId="0" borderId="11" xfId="0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" fillId="0" borderId="20" xfId="0" applyFont="1" applyBorder="1"/>
    <xf numFmtId="0" fontId="2" fillId="0" borderId="24" xfId="0" applyFont="1" applyBorder="1" applyAlignment="1">
      <alignment horizontal="center" vertical="center"/>
    </xf>
    <xf numFmtId="0" fontId="10" fillId="3" borderId="0" xfId="0" applyFont="1" applyFill="1"/>
    <xf numFmtId="0" fontId="2" fillId="0" borderId="16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8" xfId="0" applyFont="1" applyBorder="1" applyAlignment="1">
      <alignment vertical="center"/>
    </xf>
    <xf numFmtId="0" fontId="3" fillId="3" borderId="0" xfId="0" applyFont="1" applyFill="1"/>
    <xf numFmtId="0" fontId="2" fillId="0" borderId="21" xfId="0" applyFont="1" applyBorder="1"/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/>
    <xf numFmtId="0" fontId="2" fillId="0" borderId="33" xfId="0" applyFont="1" applyBorder="1"/>
    <xf numFmtId="0" fontId="2" fillId="0" borderId="5" xfId="0" applyFont="1" applyBorder="1" applyAlignment="1">
      <alignment vertical="center"/>
    </xf>
    <xf numFmtId="0" fontId="2" fillId="0" borderId="34" xfId="0" applyFont="1" applyBorder="1" applyAlignment="1">
      <alignment horizontal="center" vertical="center"/>
    </xf>
    <xf numFmtId="0" fontId="7" fillId="0" borderId="34" xfId="0" applyFont="1" applyBorder="1"/>
    <xf numFmtId="0" fontId="2" fillId="0" borderId="4" xfId="0" applyFont="1" applyBorder="1"/>
    <xf numFmtId="0" fontId="2" fillId="0" borderId="35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2" fillId="0" borderId="38" xfId="0" applyFont="1" applyBorder="1"/>
    <xf numFmtId="0" fontId="3" fillId="0" borderId="38" xfId="0" applyFont="1" applyBorder="1" applyAlignment="1">
      <alignment horizontal="center"/>
    </xf>
    <xf numFmtId="0" fontId="2" fillId="0" borderId="14" xfId="0" applyFont="1" applyBorder="1" applyAlignment="1">
      <alignment vertical="center"/>
    </xf>
    <xf numFmtId="0" fontId="11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" xfId="0" applyFont="1" applyBorder="1"/>
    <xf numFmtId="0" fontId="2" fillId="0" borderId="38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3" borderId="0" xfId="0" applyFill="1"/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left"/>
    </xf>
    <xf numFmtId="0" fontId="11" fillId="0" borderId="36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 vertical="center"/>
    </xf>
    <xf numFmtId="0" fontId="0" fillId="4" borderId="7" xfId="0" applyFont="1" applyFill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7" fillId="3" borderId="0" xfId="0" applyFont="1" applyFill="1"/>
    <xf numFmtId="0" fontId="2" fillId="0" borderId="26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>
      <alignment horizontal="left" vertical="center"/>
    </xf>
    <xf numFmtId="0" fontId="0" fillId="4" borderId="41" xfId="0" applyFill="1" applyBorder="1"/>
    <xf numFmtId="0" fontId="0" fillId="5" borderId="0" xfId="0" applyFill="1" applyBorder="1"/>
    <xf numFmtId="0" fontId="0" fillId="5" borderId="0" xfId="0" applyFill="1" applyBorder="1" applyAlignment="1">
      <alignment vertical="center"/>
    </xf>
    <xf numFmtId="0" fontId="2" fillId="0" borderId="15" xfId="0" applyFont="1" applyFill="1" applyBorder="1" applyAlignment="1">
      <alignment horizontal="left" vertical="center" wrapText="1"/>
    </xf>
    <xf numFmtId="0" fontId="2" fillId="0" borderId="38" xfId="0" applyFont="1" applyBorder="1" applyAlignment="1">
      <alignment vertical="center"/>
    </xf>
    <xf numFmtId="0" fontId="2" fillId="0" borderId="28" xfId="0" applyFont="1" applyFill="1" applyBorder="1" applyAlignment="1">
      <alignment horizontal="left" vertical="center" wrapText="1"/>
    </xf>
    <xf numFmtId="0" fontId="2" fillId="0" borderId="35" xfId="0" applyFont="1" applyBorder="1" applyAlignment="1">
      <alignment vertical="center" wrapText="1"/>
    </xf>
    <xf numFmtId="0" fontId="3" fillId="0" borderId="12" xfId="0" applyFont="1" applyBorder="1"/>
    <xf numFmtId="0" fontId="3" fillId="0" borderId="13" xfId="0" applyFont="1" applyBorder="1"/>
    <xf numFmtId="0" fontId="1" fillId="0" borderId="5" xfId="0" applyFont="1" applyBorder="1"/>
    <xf numFmtId="0" fontId="1" fillId="0" borderId="38" xfId="0" applyFont="1" applyBorder="1"/>
    <xf numFmtId="0" fontId="1" fillId="0" borderId="16" xfId="0" applyFont="1" applyBorder="1"/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0"/>
  <sheetViews>
    <sheetView topLeftCell="A36" zoomScaleNormal="100" workbookViewId="0">
      <selection sqref="A1:E70"/>
    </sheetView>
  </sheetViews>
  <sheetFormatPr defaultRowHeight="15" x14ac:dyDescent="0.25"/>
  <cols>
    <col min="1" max="1" width="3.85546875" bestFit="1" customWidth="1"/>
    <col min="2" max="2" width="55.42578125" bestFit="1" customWidth="1"/>
    <col min="3" max="3" width="10" bestFit="1" customWidth="1"/>
    <col min="4" max="4" width="11.7109375" bestFit="1" customWidth="1"/>
    <col min="5" max="5" width="24.140625" customWidth="1"/>
    <col min="6" max="6" width="9.140625" customWidth="1"/>
    <col min="9" max="9" width="32.140625" bestFit="1" customWidth="1"/>
    <col min="10" max="10" width="7.85546875" bestFit="1" customWidth="1"/>
    <col min="11" max="11" width="11.7109375" bestFit="1" customWidth="1"/>
    <col min="12" max="12" width="15.85546875" bestFit="1" customWidth="1"/>
  </cols>
  <sheetData>
    <row r="1" spans="1:6" ht="15.75" thickBot="1" x14ac:dyDescent="0.3">
      <c r="A1" s="86" t="s">
        <v>48</v>
      </c>
      <c r="B1" s="87"/>
      <c r="C1" s="87"/>
      <c r="D1" s="87"/>
      <c r="E1" s="88"/>
    </row>
    <row r="2" spans="1:6" ht="15.75" thickBot="1" x14ac:dyDescent="0.3">
      <c r="A2" s="1" t="s">
        <v>1</v>
      </c>
      <c r="B2" s="2" t="s">
        <v>2</v>
      </c>
      <c r="C2" s="2" t="s">
        <v>0</v>
      </c>
      <c r="D2" s="2" t="s">
        <v>3</v>
      </c>
      <c r="E2" s="30" t="s">
        <v>4</v>
      </c>
    </row>
    <row r="3" spans="1:6" ht="15.75" thickBot="1" x14ac:dyDescent="0.3">
      <c r="A3" s="31">
        <v>1</v>
      </c>
      <c r="B3" s="55" t="s">
        <v>5</v>
      </c>
      <c r="C3" s="56">
        <f>SUM(C4:C12)</f>
        <v>80</v>
      </c>
      <c r="D3" s="22"/>
      <c r="E3" s="23"/>
    </row>
    <row r="4" spans="1:6" s="13" customFormat="1" ht="15.75" thickBot="1" x14ac:dyDescent="0.3">
      <c r="A4" s="31">
        <v>2</v>
      </c>
      <c r="B4" s="32" t="s">
        <v>8</v>
      </c>
      <c r="C4" s="33">
        <v>36</v>
      </c>
      <c r="D4" s="24"/>
      <c r="E4" s="25"/>
      <c r="F4" s="34"/>
    </row>
    <row r="5" spans="1:6" s="13" customFormat="1" ht="15.75" thickBot="1" x14ac:dyDescent="0.3">
      <c r="A5" s="31">
        <v>3</v>
      </c>
      <c r="B5" s="45" t="s">
        <v>46</v>
      </c>
      <c r="C5" s="47">
        <v>4</v>
      </c>
      <c r="D5" s="48"/>
      <c r="E5" s="27"/>
      <c r="F5" s="34"/>
    </row>
    <row r="6" spans="1:6" s="13" customFormat="1" ht="15.75" thickBot="1" x14ac:dyDescent="0.3">
      <c r="A6" s="31">
        <v>4</v>
      </c>
      <c r="B6" s="37" t="s">
        <v>66</v>
      </c>
      <c r="C6" s="51">
        <v>1</v>
      </c>
      <c r="D6" s="37"/>
      <c r="E6" s="41"/>
      <c r="F6" s="39"/>
    </row>
    <row r="7" spans="1:6" s="13" customFormat="1" ht="15.75" thickBot="1" x14ac:dyDescent="0.3">
      <c r="A7" s="31">
        <v>5</v>
      </c>
      <c r="B7" s="40" t="s">
        <v>67</v>
      </c>
      <c r="C7" s="36">
        <v>25</v>
      </c>
      <c r="D7" s="49"/>
      <c r="E7" s="50"/>
      <c r="F7" s="39"/>
    </row>
    <row r="8" spans="1:6" s="13" customFormat="1" ht="15.75" thickBot="1" x14ac:dyDescent="0.3">
      <c r="A8" s="31">
        <v>6</v>
      </c>
      <c r="B8" s="35" t="s">
        <v>9</v>
      </c>
      <c r="C8" s="42">
        <v>6</v>
      </c>
      <c r="D8" s="37"/>
      <c r="E8" s="38"/>
      <c r="F8" s="39"/>
    </row>
    <row r="9" spans="1:6" s="13" customFormat="1" ht="15.75" thickBot="1" x14ac:dyDescent="0.3">
      <c r="A9" s="31">
        <v>7</v>
      </c>
      <c r="B9" s="45" t="s">
        <v>71</v>
      </c>
      <c r="C9" s="43">
        <v>2</v>
      </c>
      <c r="D9" s="44"/>
      <c r="E9" s="38"/>
      <c r="F9" s="39"/>
    </row>
    <row r="10" spans="1:6" s="13" customFormat="1" ht="15.75" thickBot="1" x14ac:dyDescent="0.3">
      <c r="A10" s="31">
        <v>8</v>
      </c>
      <c r="B10" s="37" t="s">
        <v>68</v>
      </c>
      <c r="C10" s="42">
        <v>2</v>
      </c>
      <c r="D10" s="37"/>
      <c r="E10" s="41"/>
      <c r="F10" s="39"/>
    </row>
    <row r="11" spans="1:6" s="13" customFormat="1" ht="15.75" thickBot="1" x14ac:dyDescent="0.3">
      <c r="A11" s="31">
        <v>9</v>
      </c>
      <c r="B11" s="37" t="s">
        <v>70</v>
      </c>
      <c r="C11" s="42">
        <v>2</v>
      </c>
      <c r="D11" s="37"/>
      <c r="E11" s="41"/>
      <c r="F11" s="39"/>
    </row>
    <row r="12" spans="1:6" s="13" customFormat="1" ht="15.75" thickBot="1" x14ac:dyDescent="0.3">
      <c r="A12" s="31">
        <v>10</v>
      </c>
      <c r="B12" s="37" t="s">
        <v>69</v>
      </c>
      <c r="C12" s="42">
        <v>2</v>
      </c>
      <c r="D12" s="37"/>
      <c r="E12" s="41"/>
      <c r="F12" s="39"/>
    </row>
    <row r="13" spans="1:6" s="13" customFormat="1" ht="15.75" thickBot="1" x14ac:dyDescent="0.3">
      <c r="A13" s="31">
        <v>11</v>
      </c>
      <c r="B13" s="40" t="s">
        <v>39</v>
      </c>
      <c r="C13" s="36">
        <v>2</v>
      </c>
      <c r="D13" s="49"/>
      <c r="E13" s="50"/>
      <c r="F13" s="39"/>
    </row>
    <row r="14" spans="1:6" s="13" customFormat="1" ht="15.75" thickBot="1" x14ac:dyDescent="0.3">
      <c r="A14" s="31">
        <v>12</v>
      </c>
      <c r="B14" s="35" t="s">
        <v>40</v>
      </c>
      <c r="C14" s="42">
        <v>4</v>
      </c>
      <c r="D14" s="37"/>
      <c r="E14" s="41"/>
      <c r="F14" s="39"/>
    </row>
    <row r="15" spans="1:6" s="13" customFormat="1" ht="15.75" thickBot="1" x14ac:dyDescent="0.3">
      <c r="A15" s="31">
        <v>13</v>
      </c>
      <c r="B15" s="83" t="s">
        <v>119</v>
      </c>
      <c r="C15" s="42">
        <v>42</v>
      </c>
      <c r="D15" s="37"/>
      <c r="E15" s="41"/>
      <c r="F15" s="39"/>
    </row>
    <row r="16" spans="1:6" s="13" customFormat="1" ht="15.75" thickBot="1" x14ac:dyDescent="0.3">
      <c r="A16" s="31">
        <v>14</v>
      </c>
      <c r="B16" s="83" t="s">
        <v>120</v>
      </c>
      <c r="C16" s="42">
        <v>4</v>
      </c>
      <c r="D16" s="37"/>
      <c r="E16" s="41"/>
      <c r="F16" s="39"/>
    </row>
    <row r="17" spans="1:6" s="13" customFormat="1" ht="15.75" thickBot="1" x14ac:dyDescent="0.3">
      <c r="A17" s="31">
        <v>15</v>
      </c>
      <c r="B17" s="83" t="s">
        <v>121</v>
      </c>
      <c r="C17" s="42">
        <v>1</v>
      </c>
      <c r="D17" s="37"/>
      <c r="E17" s="41"/>
      <c r="F17" s="39"/>
    </row>
    <row r="18" spans="1:6" s="13" customFormat="1" ht="15.75" thickBot="1" x14ac:dyDescent="0.3">
      <c r="A18" s="31">
        <v>16</v>
      </c>
      <c r="B18" s="83" t="s">
        <v>122</v>
      </c>
      <c r="C18" s="42">
        <v>2</v>
      </c>
      <c r="D18" s="37"/>
      <c r="E18" s="41"/>
      <c r="F18" s="39"/>
    </row>
    <row r="19" spans="1:6" s="13" customFormat="1" ht="15.75" thickBot="1" x14ac:dyDescent="0.3">
      <c r="A19" s="31">
        <v>17</v>
      </c>
      <c r="B19" s="83" t="s">
        <v>123</v>
      </c>
      <c r="C19" s="42">
        <v>25</v>
      </c>
      <c r="D19" s="37"/>
      <c r="E19" s="41"/>
      <c r="F19" s="39"/>
    </row>
    <row r="20" spans="1:6" s="13" customFormat="1" ht="15.75" thickBot="1" x14ac:dyDescent="0.3">
      <c r="A20" s="31">
        <v>18</v>
      </c>
      <c r="B20" s="84" t="s">
        <v>124</v>
      </c>
      <c r="C20" s="53">
        <v>2</v>
      </c>
      <c r="D20" s="52"/>
      <c r="E20" s="54"/>
      <c r="F20" s="39"/>
    </row>
    <row r="21" spans="1:6" s="13" customFormat="1" ht="15.75" thickBot="1" x14ac:dyDescent="0.3">
      <c r="A21" s="31">
        <v>19</v>
      </c>
      <c r="B21" s="66" t="s">
        <v>17</v>
      </c>
      <c r="C21" s="57">
        <f>SUM(C22:C34)</f>
        <v>275</v>
      </c>
      <c r="D21" s="28"/>
      <c r="E21" s="27"/>
      <c r="F21" s="39"/>
    </row>
    <row r="22" spans="1:6" s="13" customFormat="1" ht="15.75" thickBot="1" x14ac:dyDescent="0.3">
      <c r="A22" s="31">
        <v>20</v>
      </c>
      <c r="B22" s="35" t="s">
        <v>77</v>
      </c>
      <c r="C22" s="42">
        <v>30</v>
      </c>
      <c r="D22" s="37"/>
      <c r="E22" s="38"/>
      <c r="F22" s="39"/>
    </row>
    <row r="23" spans="1:6" s="13" customFormat="1" ht="15.75" thickBot="1" x14ac:dyDescent="0.3">
      <c r="A23" s="31">
        <v>21</v>
      </c>
      <c r="B23" s="85" t="s">
        <v>78</v>
      </c>
      <c r="C23" s="42">
        <v>67</v>
      </c>
      <c r="D23" s="37"/>
      <c r="E23" s="38"/>
      <c r="F23" s="39"/>
    </row>
    <row r="24" spans="1:6" s="13" customFormat="1" ht="15.75" thickBot="1" x14ac:dyDescent="0.3">
      <c r="A24" s="31">
        <v>22</v>
      </c>
      <c r="B24" s="35" t="s">
        <v>79</v>
      </c>
      <c r="C24" s="42">
        <v>4</v>
      </c>
      <c r="D24" s="37"/>
      <c r="E24" s="38"/>
      <c r="F24" s="39"/>
    </row>
    <row r="25" spans="1:6" s="13" customFormat="1" ht="15.75" thickBot="1" x14ac:dyDescent="0.3">
      <c r="A25" s="31">
        <v>23</v>
      </c>
      <c r="B25" s="35" t="s">
        <v>80</v>
      </c>
      <c r="C25" s="42">
        <v>12</v>
      </c>
      <c r="D25" s="37"/>
      <c r="E25" s="38"/>
      <c r="F25" s="39"/>
    </row>
    <row r="26" spans="1:6" s="13" customFormat="1" ht="15.75" thickBot="1" x14ac:dyDescent="0.3">
      <c r="A26" s="31">
        <v>24</v>
      </c>
      <c r="B26" s="35" t="s">
        <v>81</v>
      </c>
      <c r="C26" s="42">
        <v>4</v>
      </c>
      <c r="D26" s="37"/>
      <c r="E26" s="38"/>
      <c r="F26" s="39"/>
    </row>
    <row r="27" spans="1:6" s="13" customFormat="1" ht="15.75" thickBot="1" x14ac:dyDescent="0.3">
      <c r="A27" s="31">
        <v>25</v>
      </c>
      <c r="B27" s="35" t="s">
        <v>82</v>
      </c>
      <c r="C27" s="42">
        <v>2</v>
      </c>
      <c r="D27" s="37"/>
      <c r="E27" s="38"/>
      <c r="F27" s="39"/>
    </row>
    <row r="28" spans="1:6" ht="15.75" thickBot="1" x14ac:dyDescent="0.3">
      <c r="A28" s="31">
        <v>26</v>
      </c>
      <c r="B28" s="35" t="s">
        <v>83</v>
      </c>
      <c r="C28" s="42">
        <v>2</v>
      </c>
      <c r="D28" s="37"/>
      <c r="E28" s="38"/>
      <c r="F28" s="62"/>
    </row>
    <row r="29" spans="1:6" ht="15.75" thickBot="1" x14ac:dyDescent="0.3">
      <c r="A29" s="31">
        <v>27</v>
      </c>
      <c r="B29" s="35" t="s">
        <v>84</v>
      </c>
      <c r="C29" s="42">
        <v>2</v>
      </c>
      <c r="D29" s="37"/>
      <c r="E29" s="38"/>
      <c r="F29" s="62"/>
    </row>
    <row r="30" spans="1:6" ht="15.75" thickBot="1" x14ac:dyDescent="0.3">
      <c r="A30" s="31">
        <v>28</v>
      </c>
      <c r="B30" s="35" t="s">
        <v>85</v>
      </c>
      <c r="C30" s="42">
        <v>2</v>
      </c>
      <c r="D30" s="37"/>
      <c r="E30" s="38"/>
      <c r="F30" s="62"/>
    </row>
    <row r="31" spans="1:6" ht="15.75" thickBot="1" x14ac:dyDescent="0.3">
      <c r="A31" s="31">
        <v>29</v>
      </c>
      <c r="B31" s="35" t="s">
        <v>86</v>
      </c>
      <c r="C31" s="42">
        <v>30</v>
      </c>
      <c r="D31" s="37"/>
      <c r="E31" s="38"/>
      <c r="F31" s="62"/>
    </row>
    <row r="32" spans="1:6" ht="15.75" thickBot="1" x14ac:dyDescent="0.3">
      <c r="A32" s="31">
        <v>30</v>
      </c>
      <c r="B32" s="35" t="s">
        <v>87</v>
      </c>
      <c r="C32" s="42">
        <v>67</v>
      </c>
      <c r="D32" s="37"/>
      <c r="E32" s="38"/>
      <c r="F32" s="62"/>
    </row>
    <row r="33" spans="1:6" ht="15.75" thickBot="1" x14ac:dyDescent="0.3">
      <c r="A33" s="31">
        <v>31</v>
      </c>
      <c r="B33" s="35" t="s">
        <v>88</v>
      </c>
      <c r="C33" s="42">
        <v>40</v>
      </c>
      <c r="D33" s="37"/>
      <c r="E33" s="38"/>
      <c r="F33" s="62"/>
    </row>
    <row r="34" spans="1:6" ht="15.75" thickBot="1" x14ac:dyDescent="0.3">
      <c r="A34" s="31">
        <v>32</v>
      </c>
      <c r="B34" s="35" t="s">
        <v>89</v>
      </c>
      <c r="C34" s="42">
        <v>13</v>
      </c>
      <c r="D34" s="37"/>
      <c r="E34" s="38"/>
      <c r="F34" s="62"/>
    </row>
    <row r="35" spans="1:6" ht="15.75" thickBot="1" x14ac:dyDescent="0.3">
      <c r="A35" s="31">
        <v>33</v>
      </c>
      <c r="B35" s="67" t="s">
        <v>18</v>
      </c>
      <c r="C35" s="68"/>
      <c r="D35" s="26"/>
      <c r="E35" s="12"/>
      <c r="F35" s="62"/>
    </row>
    <row r="36" spans="1:6" ht="15.75" thickBot="1" x14ac:dyDescent="0.3">
      <c r="A36" s="31">
        <v>34</v>
      </c>
      <c r="B36" s="65" t="s">
        <v>90</v>
      </c>
      <c r="C36" s="63">
        <v>22</v>
      </c>
      <c r="D36" s="63"/>
      <c r="E36" s="63"/>
      <c r="F36" s="62"/>
    </row>
    <row r="37" spans="1:6" ht="15.75" thickBot="1" x14ac:dyDescent="0.3">
      <c r="A37" s="31">
        <v>35</v>
      </c>
      <c r="B37" s="65" t="s">
        <v>91</v>
      </c>
      <c r="C37" s="63">
        <v>4</v>
      </c>
      <c r="D37" s="63"/>
      <c r="E37" s="63"/>
      <c r="F37" s="62"/>
    </row>
    <row r="38" spans="1:6" ht="15.75" thickBot="1" x14ac:dyDescent="0.3">
      <c r="A38" s="31">
        <v>36</v>
      </c>
      <c r="B38" s="65" t="s">
        <v>92</v>
      </c>
      <c r="C38" s="63">
        <v>4</v>
      </c>
      <c r="D38" s="63"/>
      <c r="E38" s="63"/>
      <c r="F38" s="62"/>
    </row>
    <row r="39" spans="1:6" ht="15.75" thickBot="1" x14ac:dyDescent="0.3">
      <c r="A39" s="31">
        <v>37</v>
      </c>
      <c r="B39" s="65" t="s">
        <v>93</v>
      </c>
      <c r="C39" s="63">
        <v>2</v>
      </c>
      <c r="D39" s="63"/>
      <c r="E39" s="63"/>
      <c r="F39" s="62"/>
    </row>
    <row r="40" spans="1:6" s="13" customFormat="1" ht="15.75" thickBot="1" x14ac:dyDescent="0.3">
      <c r="A40" s="31">
        <v>38</v>
      </c>
      <c r="B40" s="65" t="s">
        <v>94</v>
      </c>
      <c r="C40" s="63">
        <v>2</v>
      </c>
      <c r="D40" s="63"/>
      <c r="E40" s="63"/>
      <c r="F40" s="39"/>
    </row>
    <row r="41" spans="1:6" s="13" customFormat="1" ht="15.75" thickBot="1" x14ac:dyDescent="0.3">
      <c r="A41" s="31">
        <v>39</v>
      </c>
      <c r="B41" s="65" t="s">
        <v>95</v>
      </c>
      <c r="C41" s="63">
        <v>2</v>
      </c>
      <c r="D41" s="63"/>
      <c r="E41" s="63"/>
      <c r="F41" s="39"/>
    </row>
    <row r="42" spans="1:6" s="13" customFormat="1" ht="15.75" thickBot="1" x14ac:dyDescent="0.3">
      <c r="A42" s="31">
        <v>40</v>
      </c>
      <c r="B42" s="65" t="s">
        <v>96</v>
      </c>
      <c r="C42" s="63">
        <v>2</v>
      </c>
      <c r="D42" s="63"/>
      <c r="E42" s="63"/>
      <c r="F42" s="39"/>
    </row>
    <row r="43" spans="1:6" s="13" customFormat="1" ht="15.75" thickBot="1" x14ac:dyDescent="0.3">
      <c r="A43" s="31">
        <v>41</v>
      </c>
      <c r="B43" s="65" t="s">
        <v>97</v>
      </c>
      <c r="C43" s="63">
        <v>4</v>
      </c>
      <c r="D43" s="63"/>
      <c r="E43" s="63"/>
      <c r="F43" s="39"/>
    </row>
    <row r="44" spans="1:6" s="13" customFormat="1" ht="15.75" thickBot="1" x14ac:dyDescent="0.3">
      <c r="A44" s="31">
        <v>42</v>
      </c>
      <c r="B44" s="65" t="s">
        <v>98</v>
      </c>
      <c r="C44" s="63">
        <v>4</v>
      </c>
      <c r="D44" s="63"/>
      <c r="E44" s="63"/>
      <c r="F44" s="39"/>
    </row>
    <row r="45" spans="1:6" s="13" customFormat="1" ht="15.75" thickBot="1" x14ac:dyDescent="0.3">
      <c r="A45" s="31">
        <v>43</v>
      </c>
      <c r="B45" s="65" t="s">
        <v>99</v>
      </c>
      <c r="C45" s="63">
        <v>47</v>
      </c>
      <c r="D45" s="63"/>
      <c r="E45" s="63"/>
      <c r="F45" s="39"/>
    </row>
    <row r="46" spans="1:6" s="13" customFormat="1" ht="15.75" thickBot="1" x14ac:dyDescent="0.3">
      <c r="A46" s="31">
        <v>44</v>
      </c>
      <c r="B46" s="65" t="s">
        <v>100</v>
      </c>
      <c r="C46" s="63">
        <v>4</v>
      </c>
      <c r="D46" s="63"/>
      <c r="E46" s="63"/>
      <c r="F46" s="39"/>
    </row>
    <row r="47" spans="1:6" s="13" customFormat="1" ht="15.75" thickBot="1" x14ac:dyDescent="0.3">
      <c r="A47" s="31">
        <v>45</v>
      </c>
      <c r="B47" s="65" t="s">
        <v>101</v>
      </c>
      <c r="C47" s="63">
        <v>10</v>
      </c>
      <c r="D47" s="63"/>
      <c r="E47" s="63"/>
      <c r="F47" s="39"/>
    </row>
    <row r="48" spans="1:6" s="13" customFormat="1" ht="15.75" thickBot="1" x14ac:dyDescent="0.3">
      <c r="A48" s="31">
        <v>46</v>
      </c>
      <c r="B48" s="65" t="s">
        <v>102</v>
      </c>
      <c r="C48" s="63">
        <v>4</v>
      </c>
      <c r="D48" s="63"/>
      <c r="E48" s="63"/>
      <c r="F48" s="39"/>
    </row>
    <row r="49" spans="1:6" s="13" customFormat="1" ht="15.75" thickBot="1" x14ac:dyDescent="0.3">
      <c r="A49" s="31">
        <v>47</v>
      </c>
      <c r="B49" s="65" t="s">
        <v>103</v>
      </c>
      <c r="C49" s="63">
        <v>30</v>
      </c>
      <c r="D49" s="63"/>
      <c r="E49" s="63"/>
      <c r="F49" s="39"/>
    </row>
    <row r="50" spans="1:6" s="13" customFormat="1" ht="15.75" thickBot="1" x14ac:dyDescent="0.3">
      <c r="A50" s="31">
        <v>48</v>
      </c>
      <c r="B50" s="65" t="s">
        <v>104</v>
      </c>
      <c r="C50" s="63">
        <v>6</v>
      </c>
      <c r="D50" s="63"/>
      <c r="E50" s="63"/>
      <c r="F50" s="39"/>
    </row>
    <row r="51" spans="1:6" s="13" customFormat="1" ht="15.75" thickBot="1" x14ac:dyDescent="0.3">
      <c r="A51" s="31">
        <v>49</v>
      </c>
      <c r="B51" s="65" t="s">
        <v>105</v>
      </c>
      <c r="C51" s="63">
        <v>1</v>
      </c>
      <c r="D51" s="63"/>
      <c r="E51" s="63"/>
      <c r="F51" s="39"/>
    </row>
    <row r="52" spans="1:6" s="13" customFormat="1" ht="15.75" thickBot="1" x14ac:dyDescent="0.3">
      <c r="A52" s="31">
        <v>50</v>
      </c>
      <c r="B52" s="65" t="s">
        <v>106</v>
      </c>
      <c r="C52" s="63">
        <v>5</v>
      </c>
      <c r="D52" s="63"/>
      <c r="E52" s="63"/>
      <c r="F52" s="39"/>
    </row>
    <row r="53" spans="1:6" s="13" customFormat="1" ht="15.75" thickBot="1" x14ac:dyDescent="0.3">
      <c r="A53" s="31">
        <v>51</v>
      </c>
      <c r="B53" s="69" t="s">
        <v>107</v>
      </c>
      <c r="C53" s="64">
        <v>6</v>
      </c>
      <c r="D53" s="64"/>
      <c r="E53" s="64"/>
      <c r="F53" s="39"/>
    </row>
    <row r="54" spans="1:6" s="13" customFormat="1" ht="15.75" thickBot="1" x14ac:dyDescent="0.3">
      <c r="A54" s="31">
        <v>52</v>
      </c>
      <c r="B54" s="70" t="s">
        <v>19</v>
      </c>
      <c r="C54" s="56"/>
      <c r="D54" s="58"/>
      <c r="E54" s="61"/>
      <c r="F54" s="39"/>
    </row>
    <row r="55" spans="1:6" s="13" customFormat="1" ht="15.75" thickBot="1" x14ac:dyDescent="0.3">
      <c r="A55" s="31">
        <v>53</v>
      </c>
      <c r="B55" s="49" t="s">
        <v>72</v>
      </c>
      <c r="C55" s="36">
        <v>15</v>
      </c>
      <c r="D55" s="49"/>
      <c r="E55" s="60"/>
      <c r="F55" s="39"/>
    </row>
    <row r="56" spans="1:6" s="13" customFormat="1" ht="15.75" thickBot="1" x14ac:dyDescent="0.3">
      <c r="A56" s="31">
        <v>54</v>
      </c>
      <c r="B56" s="37" t="s">
        <v>73</v>
      </c>
      <c r="C56" s="42">
        <v>1</v>
      </c>
      <c r="D56" s="37"/>
      <c r="E56" s="46"/>
      <c r="F56" s="39"/>
    </row>
    <row r="57" spans="1:6" s="13" customFormat="1" ht="15.75" thickBot="1" x14ac:dyDescent="0.3">
      <c r="A57" s="31">
        <v>55</v>
      </c>
      <c r="B57" s="37" t="s">
        <v>41</v>
      </c>
      <c r="C57" s="42">
        <v>6</v>
      </c>
      <c r="D57" s="37"/>
      <c r="E57" s="46"/>
      <c r="F57" s="39"/>
    </row>
    <row r="58" spans="1:6" s="13" customFormat="1" ht="15.75" thickBot="1" x14ac:dyDescent="0.3">
      <c r="A58" s="31">
        <v>56</v>
      </c>
      <c r="B58" s="37" t="s">
        <v>74</v>
      </c>
      <c r="C58" s="42">
        <v>30</v>
      </c>
      <c r="D58" s="37"/>
      <c r="E58" s="37"/>
      <c r="F58" s="39"/>
    </row>
    <row r="59" spans="1:6" s="13" customFormat="1" ht="15.75" thickBot="1" x14ac:dyDescent="0.3">
      <c r="A59" s="31">
        <v>57</v>
      </c>
      <c r="B59" s="37" t="s">
        <v>75</v>
      </c>
      <c r="C59" s="42">
        <v>5</v>
      </c>
      <c r="D59" s="37"/>
      <c r="E59" s="37"/>
      <c r="F59" s="39"/>
    </row>
    <row r="60" spans="1:6" s="13" customFormat="1" ht="15.75" thickBot="1" x14ac:dyDescent="0.3">
      <c r="A60" s="31">
        <v>58</v>
      </c>
      <c r="B60" s="52" t="s">
        <v>76</v>
      </c>
      <c r="C60" s="59">
        <v>1</v>
      </c>
      <c r="D60" s="52"/>
      <c r="E60" s="52"/>
      <c r="F60" s="71"/>
    </row>
    <row r="61" spans="1:6" s="13" customFormat="1" ht="15.75" thickBot="1" x14ac:dyDescent="0.3">
      <c r="A61" s="31">
        <v>59</v>
      </c>
      <c r="B61" s="55" t="s">
        <v>7</v>
      </c>
      <c r="C61" s="81"/>
      <c r="D61" s="81"/>
      <c r="E61" s="82"/>
      <c r="F61" s="39"/>
    </row>
    <row r="62" spans="1:6" s="13" customFormat="1" ht="30.75" thickBot="1" x14ac:dyDescent="0.3">
      <c r="A62" s="31">
        <v>60</v>
      </c>
      <c r="B62" s="79" t="s">
        <v>113</v>
      </c>
      <c r="C62" s="36" t="s">
        <v>6</v>
      </c>
      <c r="D62" s="60"/>
      <c r="E62" s="80"/>
      <c r="F62" s="39"/>
    </row>
    <row r="63" spans="1:6" s="13" customFormat="1" ht="15.75" thickBot="1" x14ac:dyDescent="0.3">
      <c r="A63" s="31">
        <v>61</v>
      </c>
      <c r="B63" s="72" t="s">
        <v>47</v>
      </c>
      <c r="C63" s="42" t="s">
        <v>20</v>
      </c>
      <c r="D63" s="46"/>
      <c r="E63" s="41"/>
      <c r="F63" s="39"/>
    </row>
    <row r="64" spans="1:6" s="13" customFormat="1" ht="15.75" thickBot="1" x14ac:dyDescent="0.3">
      <c r="A64" s="31">
        <v>62</v>
      </c>
      <c r="B64" s="73" t="s">
        <v>26</v>
      </c>
      <c r="C64" s="42">
        <v>4</v>
      </c>
      <c r="D64" s="46"/>
      <c r="E64" s="41"/>
      <c r="F64" s="39"/>
    </row>
    <row r="65" spans="1:6" s="13" customFormat="1" ht="15.75" thickBot="1" x14ac:dyDescent="0.3">
      <c r="A65" s="31">
        <v>63</v>
      </c>
      <c r="B65" s="72" t="s">
        <v>110</v>
      </c>
      <c r="C65" s="42">
        <v>154</v>
      </c>
      <c r="D65" s="46"/>
      <c r="E65" s="41"/>
      <c r="F65" s="39"/>
    </row>
    <row r="66" spans="1:6" s="13" customFormat="1" ht="15.75" thickBot="1" x14ac:dyDescent="0.3">
      <c r="A66" s="31">
        <v>64</v>
      </c>
      <c r="B66" s="72" t="s">
        <v>60</v>
      </c>
      <c r="C66" s="42" t="s">
        <v>20</v>
      </c>
      <c r="D66" s="46"/>
      <c r="E66" s="41"/>
      <c r="F66" s="39"/>
    </row>
    <row r="67" spans="1:6" s="13" customFormat="1" ht="15.75" thickBot="1" x14ac:dyDescent="0.3">
      <c r="A67" s="31">
        <v>65</v>
      </c>
      <c r="B67" s="72" t="s">
        <v>62</v>
      </c>
      <c r="C67" s="42" t="s">
        <v>20</v>
      </c>
      <c r="D67" s="46"/>
      <c r="E67" s="41"/>
      <c r="F67" s="39"/>
    </row>
    <row r="68" spans="1:6" s="13" customFormat="1" ht="15.75" thickBot="1" x14ac:dyDescent="0.3">
      <c r="A68" s="31">
        <v>66</v>
      </c>
      <c r="B68" s="72" t="s">
        <v>111</v>
      </c>
      <c r="C68" s="42">
        <v>26</v>
      </c>
      <c r="D68" s="46"/>
      <c r="E68" s="41"/>
      <c r="F68" s="39"/>
    </row>
    <row r="69" spans="1:6" s="13" customFormat="1" ht="15.75" thickBot="1" x14ac:dyDescent="0.3">
      <c r="A69" s="31">
        <v>67</v>
      </c>
      <c r="B69" s="72" t="s">
        <v>112</v>
      </c>
      <c r="C69" s="42">
        <v>40</v>
      </c>
      <c r="D69" s="46"/>
      <c r="E69" s="41"/>
      <c r="F69" s="39"/>
    </row>
    <row r="70" spans="1:6" ht="15.75" thickBot="1" x14ac:dyDescent="0.3">
      <c r="A70" s="31">
        <v>68</v>
      </c>
      <c r="B70" s="77" t="s">
        <v>114</v>
      </c>
      <c r="C70" s="59">
        <v>50</v>
      </c>
      <c r="D70" s="78"/>
      <c r="E70" s="54"/>
      <c r="F70" s="62"/>
    </row>
  </sheetData>
  <mergeCells count="1">
    <mergeCell ref="A1:E1"/>
  </mergeCells>
  <pageMargins left="0.70866141732283472" right="0.31496062992125984" top="0.74803149606299213" bottom="0.74803149606299213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tabSelected="1" workbookViewId="0">
      <selection activeCell="N28" sqref="N28"/>
    </sheetView>
  </sheetViews>
  <sheetFormatPr defaultRowHeight="15" x14ac:dyDescent="0.25"/>
  <cols>
    <col min="1" max="1" width="3.85546875" bestFit="1" customWidth="1"/>
    <col min="2" max="2" width="30.140625" bestFit="1" customWidth="1"/>
    <col min="3" max="3" width="34" customWidth="1"/>
    <col min="4" max="4" width="11.7109375" bestFit="1" customWidth="1"/>
    <col min="5" max="5" width="21.5703125" customWidth="1"/>
    <col min="8" max="8" width="16.42578125" bestFit="1" customWidth="1"/>
    <col min="9" max="9" width="34.7109375" bestFit="1" customWidth="1"/>
    <col min="10" max="10" width="12.28515625" bestFit="1" customWidth="1"/>
    <col min="13" max="13" width="19.7109375" bestFit="1" customWidth="1"/>
  </cols>
  <sheetData>
    <row r="1" spans="1:11" ht="15.75" thickBot="1" x14ac:dyDescent="0.3">
      <c r="A1" s="86" t="s">
        <v>48</v>
      </c>
      <c r="B1" s="87"/>
      <c r="C1" s="87"/>
      <c r="D1" s="87"/>
      <c r="E1" s="88"/>
    </row>
    <row r="2" spans="1:11" ht="15.75" thickBot="1" x14ac:dyDescent="0.3">
      <c r="A2" s="1" t="s">
        <v>1</v>
      </c>
      <c r="B2" s="2" t="s">
        <v>10</v>
      </c>
      <c r="C2" s="2" t="s">
        <v>0</v>
      </c>
      <c r="D2" s="2" t="s">
        <v>3</v>
      </c>
      <c r="E2" s="6" t="s">
        <v>4</v>
      </c>
      <c r="I2" s="5" t="s">
        <v>27</v>
      </c>
      <c r="J2" s="5">
        <f>D6</f>
        <v>23</v>
      </c>
      <c r="K2" s="16"/>
    </row>
    <row r="3" spans="1:11" ht="15.75" thickBot="1" x14ac:dyDescent="0.3">
      <c r="A3" s="7">
        <v>1</v>
      </c>
      <c r="B3" s="89" t="s">
        <v>128</v>
      </c>
      <c r="C3" s="5" t="s">
        <v>116</v>
      </c>
      <c r="D3" s="17">
        <v>16</v>
      </c>
      <c r="E3" s="20" t="s">
        <v>44</v>
      </c>
      <c r="F3" s="16"/>
      <c r="I3" s="3" t="s">
        <v>116</v>
      </c>
      <c r="J3" s="14">
        <f>D29+D3</f>
        <v>24</v>
      </c>
      <c r="K3" s="16"/>
    </row>
    <row r="4" spans="1:11" ht="15.75" thickBot="1" x14ac:dyDescent="0.3">
      <c r="A4" s="8">
        <v>2</v>
      </c>
      <c r="B4" s="90"/>
      <c r="C4" s="5" t="s">
        <v>126</v>
      </c>
      <c r="D4" s="17">
        <f>4*40</f>
        <v>160</v>
      </c>
      <c r="E4" s="20"/>
      <c r="F4" s="16"/>
      <c r="I4" s="5" t="s">
        <v>51</v>
      </c>
      <c r="J4" s="5">
        <f>SUM(D9)</f>
        <v>152</v>
      </c>
      <c r="K4" s="16"/>
    </row>
    <row r="5" spans="1:11" ht="15.75" thickBot="1" x14ac:dyDescent="0.3">
      <c r="A5" s="7">
        <v>3</v>
      </c>
      <c r="B5" s="91"/>
      <c r="C5" s="5" t="s">
        <v>127</v>
      </c>
      <c r="D5" s="17">
        <f>D4*2</f>
        <v>320</v>
      </c>
      <c r="E5" s="20"/>
      <c r="F5" s="16"/>
      <c r="I5" s="5" t="s">
        <v>42</v>
      </c>
      <c r="J5" s="5">
        <f>SUM(D21)</f>
        <v>28</v>
      </c>
      <c r="K5" s="16"/>
    </row>
    <row r="6" spans="1:11" ht="15.75" customHeight="1" thickBot="1" x14ac:dyDescent="0.3">
      <c r="A6" s="7">
        <v>4</v>
      </c>
      <c r="B6" s="89" t="s">
        <v>53</v>
      </c>
      <c r="C6" s="5" t="s">
        <v>27</v>
      </c>
      <c r="D6" s="17">
        <f>ROUNDUP(D7/10,0)</f>
        <v>23</v>
      </c>
      <c r="E6" s="20" t="s">
        <v>44</v>
      </c>
      <c r="F6" s="16"/>
      <c r="I6" s="5" t="s">
        <v>64</v>
      </c>
      <c r="J6" s="5">
        <f>D16</f>
        <v>225</v>
      </c>
      <c r="K6" s="16"/>
    </row>
    <row r="7" spans="1:11" ht="15.75" thickBot="1" x14ac:dyDescent="0.3">
      <c r="A7" s="8">
        <v>5</v>
      </c>
      <c r="B7" s="90"/>
      <c r="C7" s="5" t="s">
        <v>11</v>
      </c>
      <c r="D7" s="17">
        <f>76*3</f>
        <v>228</v>
      </c>
      <c r="E7" s="20"/>
      <c r="F7" s="16"/>
      <c r="I7" s="5" t="s">
        <v>43</v>
      </c>
      <c r="J7" s="5">
        <f>D25</f>
        <v>42</v>
      </c>
      <c r="K7" s="16"/>
    </row>
    <row r="8" spans="1:11" ht="15.75" thickBot="1" x14ac:dyDescent="0.3">
      <c r="A8" s="7">
        <v>6</v>
      </c>
      <c r="B8" s="91"/>
      <c r="C8" s="5" t="s">
        <v>25</v>
      </c>
      <c r="D8" s="17">
        <f>D7*2</f>
        <v>456</v>
      </c>
      <c r="E8" s="20"/>
      <c r="F8" s="16"/>
      <c r="I8" s="5" t="s">
        <v>15</v>
      </c>
      <c r="J8" s="5">
        <f>D12</f>
        <v>110</v>
      </c>
      <c r="K8" s="16"/>
    </row>
    <row r="9" spans="1:11" ht="15.75" thickBot="1" x14ac:dyDescent="0.3">
      <c r="A9" s="7">
        <v>7</v>
      </c>
      <c r="B9" s="89" t="s">
        <v>49</v>
      </c>
      <c r="C9" s="5" t="s">
        <v>51</v>
      </c>
      <c r="D9" s="17">
        <f>76*2</f>
        <v>152</v>
      </c>
      <c r="E9" s="20"/>
      <c r="F9" s="16"/>
      <c r="I9" s="5" t="s">
        <v>31</v>
      </c>
      <c r="J9" s="5">
        <f>D20</f>
        <v>52</v>
      </c>
      <c r="K9" s="16"/>
    </row>
    <row r="10" spans="1:11" ht="15.75" thickBot="1" x14ac:dyDescent="0.3">
      <c r="A10" s="8">
        <v>8</v>
      </c>
      <c r="B10" s="90"/>
      <c r="C10" s="5" t="s">
        <v>11</v>
      </c>
      <c r="D10" s="17">
        <f>D9</f>
        <v>152</v>
      </c>
      <c r="E10" s="20"/>
      <c r="F10" s="16"/>
      <c r="I10" s="3" t="s">
        <v>57</v>
      </c>
      <c r="J10" s="5">
        <f>D39</f>
        <v>90</v>
      </c>
      <c r="K10" s="16"/>
    </row>
    <row r="11" spans="1:11" ht="15.75" thickBot="1" x14ac:dyDescent="0.3">
      <c r="A11" s="7">
        <v>9</v>
      </c>
      <c r="B11" s="91"/>
      <c r="C11" s="3" t="s">
        <v>50</v>
      </c>
      <c r="D11" s="17">
        <f>D9</f>
        <v>152</v>
      </c>
      <c r="E11" s="20"/>
      <c r="F11" s="16"/>
      <c r="I11" s="5" t="s">
        <v>11</v>
      </c>
      <c r="J11" s="5">
        <f>SUM(D10,D7)</f>
        <v>380</v>
      </c>
      <c r="K11" s="16"/>
    </row>
    <row r="12" spans="1:11" ht="15.75" thickBot="1" x14ac:dyDescent="0.3">
      <c r="A12" s="7">
        <v>10</v>
      </c>
      <c r="B12" s="89" t="s">
        <v>52</v>
      </c>
      <c r="C12" s="5" t="s">
        <v>15</v>
      </c>
      <c r="D12" s="17">
        <f>80+30</f>
        <v>110</v>
      </c>
      <c r="E12" s="20"/>
      <c r="F12" s="16"/>
      <c r="I12" s="3" t="s">
        <v>126</v>
      </c>
      <c r="J12" s="14">
        <f>D30+D4</f>
        <v>260</v>
      </c>
      <c r="K12" s="16"/>
    </row>
    <row r="13" spans="1:11" ht="15.75" thickBot="1" x14ac:dyDescent="0.3">
      <c r="A13" s="8">
        <v>11</v>
      </c>
      <c r="B13" s="90"/>
      <c r="C13" s="5" t="s">
        <v>13</v>
      </c>
      <c r="D13" s="17">
        <f>D12*2</f>
        <v>220</v>
      </c>
      <c r="E13" s="20"/>
      <c r="F13" s="16"/>
      <c r="I13" s="5" t="s">
        <v>13</v>
      </c>
      <c r="J13" s="5">
        <f>SUM(D13,D17,D23,D27)</f>
        <v>914</v>
      </c>
      <c r="K13" s="16"/>
    </row>
    <row r="14" spans="1:11" ht="15.75" thickBot="1" x14ac:dyDescent="0.3">
      <c r="A14" s="7">
        <v>12</v>
      </c>
      <c r="B14" s="90"/>
      <c r="C14" s="5" t="s">
        <v>14</v>
      </c>
      <c r="D14" s="17">
        <f>D12</f>
        <v>110</v>
      </c>
      <c r="E14" s="20"/>
      <c r="F14" s="16"/>
      <c r="I14" s="3" t="s">
        <v>65</v>
      </c>
      <c r="J14" s="5">
        <f>D40</f>
        <v>180</v>
      </c>
      <c r="K14" s="16"/>
    </row>
    <row r="15" spans="1:11" ht="15.75" thickBot="1" x14ac:dyDescent="0.3">
      <c r="A15" s="7">
        <v>13</v>
      </c>
      <c r="B15" s="91"/>
      <c r="C15" s="5" t="s">
        <v>12</v>
      </c>
      <c r="D15" s="17">
        <f>D12</f>
        <v>110</v>
      </c>
      <c r="E15" s="20"/>
      <c r="F15" s="16"/>
      <c r="I15" s="5" t="s">
        <v>14</v>
      </c>
      <c r="J15" s="5">
        <f>SUM(D14,D18,D24,D28)</f>
        <v>457</v>
      </c>
      <c r="K15" s="16"/>
    </row>
    <row r="16" spans="1:11" ht="15.75" thickBot="1" x14ac:dyDescent="0.3">
      <c r="A16" s="8">
        <v>14</v>
      </c>
      <c r="B16" s="89" t="s">
        <v>54</v>
      </c>
      <c r="C16" s="5" t="s">
        <v>55</v>
      </c>
      <c r="D16" s="17">
        <f>75*3</f>
        <v>225</v>
      </c>
      <c r="E16" s="20"/>
      <c r="F16" s="16"/>
      <c r="I16" s="5" t="s">
        <v>50</v>
      </c>
      <c r="J16" s="5">
        <f>D11</f>
        <v>152</v>
      </c>
      <c r="K16" s="16"/>
    </row>
    <row r="17" spans="1:11" ht="15.75" thickBot="1" x14ac:dyDescent="0.3">
      <c r="A17" s="7">
        <v>15</v>
      </c>
      <c r="B17" s="90"/>
      <c r="C17" s="5" t="s">
        <v>13</v>
      </c>
      <c r="D17" s="17">
        <f>D16*2</f>
        <v>450</v>
      </c>
      <c r="E17" s="20"/>
      <c r="F17" s="16"/>
      <c r="I17" s="5" t="s">
        <v>25</v>
      </c>
      <c r="J17" s="5">
        <f>SUM(D8)</f>
        <v>456</v>
      </c>
      <c r="K17" s="16"/>
    </row>
    <row r="18" spans="1:11" ht="15.75" thickBot="1" x14ac:dyDescent="0.3">
      <c r="A18" s="7">
        <v>16</v>
      </c>
      <c r="B18" s="90"/>
      <c r="C18" s="5" t="s">
        <v>14</v>
      </c>
      <c r="D18" s="17">
        <f>D16</f>
        <v>225</v>
      </c>
      <c r="E18" s="20"/>
      <c r="F18" s="16"/>
      <c r="I18" s="3" t="s">
        <v>118</v>
      </c>
      <c r="J18" s="4">
        <f>D31+D5</f>
        <v>520</v>
      </c>
      <c r="K18" s="16"/>
    </row>
    <row r="19" spans="1:11" ht="15.75" thickBot="1" x14ac:dyDescent="0.3">
      <c r="A19" s="8">
        <v>17</v>
      </c>
      <c r="B19" s="91"/>
      <c r="C19" s="5" t="s">
        <v>12</v>
      </c>
      <c r="D19" s="17">
        <f>D16</f>
        <v>225</v>
      </c>
      <c r="E19" s="20"/>
      <c r="F19" s="16"/>
      <c r="I19" s="5" t="s">
        <v>12</v>
      </c>
      <c r="J19" s="5">
        <f>SUM(D15,D19,D22,D26)</f>
        <v>457</v>
      </c>
      <c r="K19" s="16"/>
    </row>
    <row r="20" spans="1:11" ht="15.75" thickBot="1" x14ac:dyDescent="0.3">
      <c r="A20" s="7">
        <v>18</v>
      </c>
      <c r="B20" s="89" t="s">
        <v>28</v>
      </c>
      <c r="C20" s="5" t="s">
        <v>31</v>
      </c>
      <c r="D20" s="17">
        <f>3*6+2*17</f>
        <v>52</v>
      </c>
      <c r="E20" s="20"/>
      <c r="F20" s="16"/>
      <c r="I20" s="3" t="s">
        <v>59</v>
      </c>
      <c r="J20" s="5">
        <f>D41</f>
        <v>90</v>
      </c>
      <c r="K20" s="16"/>
    </row>
    <row r="21" spans="1:11" ht="15.75" thickBot="1" x14ac:dyDescent="0.3">
      <c r="A21" s="7">
        <v>19</v>
      </c>
      <c r="B21" s="90"/>
      <c r="C21" s="5" t="s">
        <v>45</v>
      </c>
      <c r="D21" s="18">
        <v>28</v>
      </c>
      <c r="E21" s="20"/>
      <c r="F21" s="16"/>
      <c r="I21" s="3" t="s">
        <v>24</v>
      </c>
      <c r="J21" s="4" t="s">
        <v>23</v>
      </c>
      <c r="K21" s="16"/>
    </row>
    <row r="22" spans="1:11" ht="15.75" thickBot="1" x14ac:dyDescent="0.3">
      <c r="A22" s="8">
        <v>20</v>
      </c>
      <c r="B22" s="90"/>
      <c r="C22" s="9" t="s">
        <v>12</v>
      </c>
      <c r="D22" s="17">
        <f>SUM(D20:D21)</f>
        <v>80</v>
      </c>
      <c r="E22" s="20"/>
      <c r="F22" s="16"/>
      <c r="I22" s="3" t="s">
        <v>34</v>
      </c>
      <c r="J22" s="4" t="s">
        <v>21</v>
      </c>
      <c r="K22" s="16"/>
    </row>
    <row r="23" spans="1:11" ht="15.75" thickBot="1" x14ac:dyDescent="0.3">
      <c r="A23" s="7">
        <v>21</v>
      </c>
      <c r="B23" s="90"/>
      <c r="C23" s="9" t="s">
        <v>13</v>
      </c>
      <c r="D23" s="17">
        <f>D22*2</f>
        <v>160</v>
      </c>
      <c r="E23" s="20"/>
      <c r="F23" s="16"/>
      <c r="I23" s="3" t="s">
        <v>35</v>
      </c>
      <c r="J23" s="4" t="s">
        <v>36</v>
      </c>
      <c r="K23" s="16"/>
    </row>
    <row r="24" spans="1:11" ht="15.75" thickBot="1" x14ac:dyDescent="0.3">
      <c r="A24" s="7">
        <v>22</v>
      </c>
      <c r="B24" s="91"/>
      <c r="C24" s="10" t="s">
        <v>14</v>
      </c>
      <c r="D24" s="17">
        <f>D22</f>
        <v>80</v>
      </c>
      <c r="E24" s="20"/>
      <c r="F24" s="16"/>
      <c r="I24" s="3" t="s">
        <v>33</v>
      </c>
      <c r="J24" s="4" t="s">
        <v>22</v>
      </c>
      <c r="K24" s="16"/>
    </row>
    <row r="25" spans="1:11" ht="15.75" thickBot="1" x14ac:dyDescent="0.3">
      <c r="A25" s="8">
        <v>23</v>
      </c>
      <c r="B25" s="89" t="s">
        <v>32</v>
      </c>
      <c r="C25" s="11" t="s">
        <v>43</v>
      </c>
      <c r="D25" s="17">
        <f>14*3</f>
        <v>42</v>
      </c>
      <c r="E25" s="20"/>
      <c r="F25" s="16"/>
      <c r="I25" s="3" t="s">
        <v>37</v>
      </c>
      <c r="J25" s="4" t="s">
        <v>38</v>
      </c>
      <c r="K25" s="16"/>
    </row>
    <row r="26" spans="1:11" ht="15.75" thickBot="1" x14ac:dyDescent="0.3">
      <c r="A26" s="7">
        <v>24</v>
      </c>
      <c r="B26" s="90"/>
      <c r="C26" s="9" t="s">
        <v>12</v>
      </c>
      <c r="D26" s="18">
        <f>D25</f>
        <v>42</v>
      </c>
      <c r="E26" s="20"/>
      <c r="F26" s="16"/>
      <c r="I26" s="3" t="s">
        <v>29</v>
      </c>
      <c r="J26" s="4">
        <f>26*4</f>
        <v>104</v>
      </c>
      <c r="K26" s="16"/>
    </row>
    <row r="27" spans="1:11" ht="15.75" thickBot="1" x14ac:dyDescent="0.3">
      <c r="A27" s="7">
        <v>25</v>
      </c>
      <c r="B27" s="90"/>
      <c r="C27" s="9" t="s">
        <v>13</v>
      </c>
      <c r="D27" s="17">
        <f>D26*2</f>
        <v>84</v>
      </c>
      <c r="E27" s="20"/>
      <c r="F27" s="16"/>
      <c r="I27" s="15" t="s">
        <v>125</v>
      </c>
      <c r="J27" s="14">
        <f>D38</f>
        <v>90</v>
      </c>
      <c r="K27" s="16"/>
    </row>
    <row r="28" spans="1:11" ht="30.75" thickBot="1" x14ac:dyDescent="0.3">
      <c r="A28" s="8">
        <v>26</v>
      </c>
      <c r="B28" s="91"/>
      <c r="C28" s="10" t="s">
        <v>14</v>
      </c>
      <c r="D28" s="17">
        <f>D26</f>
        <v>42</v>
      </c>
      <c r="E28" s="20"/>
      <c r="F28" s="75"/>
      <c r="I28" s="21" t="s">
        <v>61</v>
      </c>
      <c r="J28" s="14">
        <f>81*4+12*6</f>
        <v>396</v>
      </c>
      <c r="K28" s="16"/>
    </row>
    <row r="29" spans="1:11" ht="45.75" thickBot="1" x14ac:dyDescent="0.3">
      <c r="A29" s="7">
        <v>27</v>
      </c>
      <c r="B29" s="89" t="s">
        <v>115</v>
      </c>
      <c r="C29" s="3" t="s">
        <v>116</v>
      </c>
      <c r="D29" s="29">
        <v>8</v>
      </c>
      <c r="E29" s="20"/>
      <c r="F29" s="76"/>
      <c r="I29" s="21" t="s">
        <v>63</v>
      </c>
      <c r="J29" s="14">
        <f>81*4+12*6</f>
        <v>396</v>
      </c>
      <c r="K29" s="16"/>
    </row>
    <row r="30" spans="1:11" ht="15.75" thickBot="1" x14ac:dyDescent="0.3">
      <c r="A30" s="7">
        <v>28</v>
      </c>
      <c r="B30" s="90"/>
      <c r="C30" s="3" t="s">
        <v>117</v>
      </c>
      <c r="D30" s="29">
        <v>100</v>
      </c>
      <c r="E30" s="20"/>
      <c r="F30" s="76"/>
    </row>
    <row r="31" spans="1:11" ht="15.75" thickBot="1" x14ac:dyDescent="0.3">
      <c r="A31" s="8">
        <v>29</v>
      </c>
      <c r="B31" s="91"/>
      <c r="C31" s="3" t="s">
        <v>118</v>
      </c>
      <c r="D31" s="29">
        <v>200</v>
      </c>
      <c r="E31" s="20"/>
      <c r="F31" s="76"/>
    </row>
    <row r="32" spans="1:11" ht="15.75" thickBot="1" x14ac:dyDescent="0.3">
      <c r="A32" s="7">
        <v>30</v>
      </c>
      <c r="B32" s="89" t="s">
        <v>16</v>
      </c>
      <c r="C32" s="3" t="s">
        <v>24</v>
      </c>
      <c r="D32" s="29" t="s">
        <v>23</v>
      </c>
      <c r="E32" s="20"/>
      <c r="F32" s="75"/>
    </row>
    <row r="33" spans="1:6" ht="15.75" thickBot="1" x14ac:dyDescent="0.3">
      <c r="A33" s="7">
        <v>31</v>
      </c>
      <c r="B33" s="90"/>
      <c r="C33" s="3" t="s">
        <v>34</v>
      </c>
      <c r="D33" s="29" t="s">
        <v>21</v>
      </c>
      <c r="E33" s="74"/>
      <c r="F33" s="75"/>
    </row>
    <row r="34" spans="1:6" ht="15.75" thickBot="1" x14ac:dyDescent="0.3">
      <c r="A34" s="8">
        <v>32</v>
      </c>
      <c r="B34" s="90"/>
      <c r="C34" s="3" t="s">
        <v>108</v>
      </c>
      <c r="D34" s="19" t="s">
        <v>36</v>
      </c>
      <c r="E34" s="20"/>
      <c r="F34" s="16"/>
    </row>
    <row r="35" spans="1:6" ht="15.75" thickBot="1" x14ac:dyDescent="0.3">
      <c r="A35" s="7">
        <v>33</v>
      </c>
      <c r="B35" s="90"/>
      <c r="C35" s="3" t="s">
        <v>109</v>
      </c>
      <c r="D35" s="19" t="s">
        <v>22</v>
      </c>
      <c r="E35" s="20"/>
      <c r="F35" s="16"/>
    </row>
    <row r="36" spans="1:6" ht="15.75" thickBot="1" x14ac:dyDescent="0.3">
      <c r="A36" s="7">
        <v>34</v>
      </c>
      <c r="B36" s="90"/>
      <c r="C36" s="3" t="s">
        <v>37</v>
      </c>
      <c r="D36" s="19" t="s">
        <v>38</v>
      </c>
      <c r="E36" s="20"/>
      <c r="F36" s="16"/>
    </row>
    <row r="37" spans="1:6" ht="15.75" thickBot="1" x14ac:dyDescent="0.3">
      <c r="A37" s="8">
        <v>35</v>
      </c>
      <c r="B37" s="91"/>
      <c r="C37" s="3" t="s">
        <v>29</v>
      </c>
      <c r="D37" s="19">
        <f>26*4</f>
        <v>104</v>
      </c>
      <c r="E37" s="20"/>
      <c r="F37" s="16"/>
    </row>
    <row r="38" spans="1:6" ht="15.75" thickBot="1" x14ac:dyDescent="0.3">
      <c r="A38" s="7">
        <v>36</v>
      </c>
      <c r="B38" s="4" t="s">
        <v>30</v>
      </c>
      <c r="C38" s="3" t="s">
        <v>125</v>
      </c>
      <c r="D38" s="19">
        <v>90</v>
      </c>
      <c r="E38" s="20"/>
      <c r="F38" s="16"/>
    </row>
    <row r="39" spans="1:6" ht="15.75" thickBot="1" x14ac:dyDescent="0.3">
      <c r="A39" s="7">
        <v>37</v>
      </c>
      <c r="B39" s="89" t="s">
        <v>56</v>
      </c>
      <c r="C39" s="3" t="s">
        <v>57</v>
      </c>
      <c r="D39" s="19">
        <v>90</v>
      </c>
      <c r="E39" s="20"/>
      <c r="F39" s="16"/>
    </row>
    <row r="40" spans="1:6" ht="15.75" thickBot="1" x14ac:dyDescent="0.3">
      <c r="A40" s="8">
        <v>38</v>
      </c>
      <c r="B40" s="90"/>
      <c r="C40" s="3" t="s">
        <v>58</v>
      </c>
      <c r="D40" s="19">
        <f>D39*2</f>
        <v>180</v>
      </c>
      <c r="E40" s="20"/>
      <c r="F40" s="16"/>
    </row>
    <row r="41" spans="1:6" ht="15.75" thickBot="1" x14ac:dyDescent="0.3">
      <c r="A41" s="7">
        <v>39</v>
      </c>
      <c r="B41" s="91"/>
      <c r="C41" s="3" t="s">
        <v>59</v>
      </c>
      <c r="D41" s="19">
        <f>D39</f>
        <v>90</v>
      </c>
      <c r="E41" s="20"/>
      <c r="F41" s="16"/>
    </row>
    <row r="42" spans="1:6" ht="30.75" thickBot="1" x14ac:dyDescent="0.3">
      <c r="A42" s="7">
        <v>40</v>
      </c>
      <c r="B42" s="14" t="s">
        <v>60</v>
      </c>
      <c r="C42" s="21" t="s">
        <v>61</v>
      </c>
      <c r="D42" s="14">
        <f>81*4+12*6</f>
        <v>396</v>
      </c>
      <c r="E42" s="20"/>
      <c r="F42" s="16"/>
    </row>
    <row r="43" spans="1:6" ht="45.75" thickBot="1" x14ac:dyDescent="0.3">
      <c r="A43" s="8">
        <v>41</v>
      </c>
      <c r="B43" s="14" t="s">
        <v>62</v>
      </c>
      <c r="C43" s="21" t="s">
        <v>63</v>
      </c>
      <c r="D43" s="14">
        <f>81*4+12*6</f>
        <v>396</v>
      </c>
      <c r="E43" s="20"/>
      <c r="F43" s="16"/>
    </row>
  </sheetData>
  <mergeCells count="11">
    <mergeCell ref="B39:B41"/>
    <mergeCell ref="A1:E1"/>
    <mergeCell ref="B6:B8"/>
    <mergeCell ref="B9:B11"/>
    <mergeCell ref="B16:B19"/>
    <mergeCell ref="B20:B24"/>
    <mergeCell ref="B25:B28"/>
    <mergeCell ref="B12:B15"/>
    <mergeCell ref="B29:B31"/>
    <mergeCell ref="B32:B37"/>
    <mergeCell ref="B3:B5"/>
  </mergeCells>
  <pageMargins left="0.70866141732283472" right="0.31496062992125984" top="0.74803149606299213" bottom="0.74803149606299213" header="0.31496062992125984" footer="0.31496062992125984"/>
  <pageSetup paperSize="9" scale="6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Основной сегмент</vt:lpstr>
      <vt:lpstr>Метизы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2026-06-16T12:44:09Z</dcterms:modified>
</cp:coreProperties>
</file>